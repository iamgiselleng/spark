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come" sheetId="1" state="visible" r:id="rId3"/>
    <sheet name="Questionnaire" sheetId="2" state="visible" r:id="rId4"/>
    <sheet name="Your 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<sst xmlns="http://schemas.openxmlformats.org/spreadsheetml/2006/main" count="204" uniqueCount="157">
  <si>
    <t xml:space="preserve">AI Readiness Discovery</t>
  </si>
  <si>
    <t xml:space="preserve">Based on the SPARK framework — for Small &amp; Medium Businesses</t>
  </si>
  <si>
    <t xml:space="preserve">About this discovery</t>
  </si>
  <si>
    <t xml:space="preserve">A 15-minute guided check-in. Run it 1-on-1 with an advisor, or fill it in</t>
  </si>
  <si>
    <t xml:space="preserve">yourself before your advisor meeting.</t>
  </si>
  <si>
    <t xml:space="preserve">By the end you'll have:</t>
  </si>
  <si>
    <t xml:space="preserve">  •  An overall AI Readiness score (0–100%) with a band</t>
  </si>
  <si>
    <t xml:space="preserve">  •  A breakdown across the 5 SPARK steps</t>
  </si>
  <si>
    <t xml:space="preserve">  •  Your Top 3 Pain Points (Leaks) — where AI can help most</t>
  </si>
  <si>
    <t xml:space="preserve">  •  Detail on your top 2 pains, including grant-screening data</t>
  </si>
  <si>
    <t xml:space="preserve">  •  Your suggested next step</t>
  </si>
  <si>
    <t xml:space="preserve">How to use</t>
  </si>
  <si>
    <t xml:space="preserve">1.  Fill in Part 1 (Business basics) — mostly dropdowns.</t>
  </si>
  <si>
    <t xml:space="preserve">2.  Rate Part 2 (AI Readiness) and Part 3 (Problem Points) on a 1–5 scale.</t>
  </si>
  <si>
    <t xml:space="preserve">3.  Part 4 asks for detail on your top 2 pain points — what they look like and your desired outcomes.</t>
  </si>
  <si>
    <t xml:space="preserve">4.  Part 5 captures budget, grants, hiring and a time for your 1-on-1.</t>
  </si>
  <si>
    <t xml:space="preserve">5.  Open the 'Your Results' tab to see everything together.</t>
  </si>
  <si>
    <t xml:space="preserve">The SPARK framework</t>
  </si>
  <si>
    <t xml:space="preserve">S  —  Spot the leaks       •   P  —  Pilot one small win   •   A  —  Apply what works   •   R  —  Review the results   •   K  —  Keep building</t>
  </si>
  <si>
    <t xml:space="preserve">Continue →  the 'Questionnaire' tab</t>
  </si>
  <si>
    <t xml:space="preserve">AI Readiness Discovery — Questionnaire</t>
  </si>
  <si>
    <t xml:space="preserve">Fill in Parts 1–5. Results auto-calculate in 'Your Results' tab.</t>
  </si>
  <si>
    <t xml:space="preserve">Customer communication</t>
  </si>
  <si>
    <t xml:space="preserve">PART 1 OF 6</t>
  </si>
  <si>
    <t xml:space="preserve">Sales &amp; quotes</t>
  </si>
  <si>
    <t xml:space="preserve">Business basics</t>
  </si>
  <si>
    <t xml:space="preserve">Admin &amp; paperwork</t>
  </si>
  <si>
    <t xml:space="preserve">Content &amp; marketing</t>
  </si>
  <si>
    <t xml:space="preserve">Business name</t>
  </si>
  <si>
    <t xml:space="preserve">Meetings &amp; notes</t>
  </si>
  <si>
    <t xml:space="preserve">UEN</t>
  </si>
  <si>
    <t xml:space="preserve">Data work</t>
  </si>
  <si>
    <t xml:space="preserve">Contact number</t>
  </si>
  <si>
    <t xml:space="preserve">People &amp; onboarding</t>
  </si>
  <si>
    <t xml:space="preserve">Email address</t>
  </si>
  <si>
    <t xml:space="preserve">Knowledge &amp; docs</t>
  </si>
  <si>
    <t xml:space="preserve">Industry</t>
  </si>
  <si>
    <t xml:space="preserve">Dropdown — F&amp;B, Retail, etc.</t>
  </si>
  <si>
    <t xml:space="preserve">Total employees</t>
  </si>
  <si>
    <t xml:space="preserve">Dropdown — band</t>
  </si>
  <si>
    <t xml:space="preserve">Local employees</t>
  </si>
  <si>
    <t xml:space="preserve">Number</t>
  </si>
  <si>
    <t xml:space="preserve">Foreign employees</t>
  </si>
  <si>
    <t xml:space="preserve">Advisor name</t>
  </si>
  <si>
    <t xml:space="preserve">PART 2 OF 6</t>
  </si>
  <si>
    <t xml:space="preserve">AI Readiness — rate 1 (Strongly disagree) to 5 (Strongly agree)</t>
  </si>
  <si>
    <t xml:space="preserve">Statement</t>
  </si>
  <si>
    <t xml:space="preserve">Rating (1–5)</t>
  </si>
  <si>
    <t xml:space="preserve">SPARK step</t>
  </si>
  <si>
    <t xml:space="preserve">We know which tasks in our business take up the most time.</t>
  </si>
  <si>
    <t xml:space="preserve">S</t>
  </si>
  <si>
    <t xml:space="preserve">When work feels slow or repetitive, we stop and ask if there's a better way.</t>
  </si>
  <si>
    <t xml:space="preserve">We're willing to test a new tool on a small task first.</t>
  </si>
  <si>
    <t xml:space="preserve">P</t>
  </si>
  <si>
    <t xml:space="preserve">In the last 6 months, we tried something new and it worked.</t>
  </si>
  <si>
    <t xml:space="preserve">When something works, we write it down so other staff can do it the same way.</t>
  </si>
  <si>
    <t xml:space="preserve">A</t>
  </si>
  <si>
    <t xml:space="preserve">Every new tool or process has one person in charge.</t>
  </si>
  <si>
    <t xml:space="preserve">We have a rough idea of how much time each task takes.</t>
  </si>
  <si>
    <t xml:space="preserve">R</t>
  </si>
  <si>
    <t xml:space="preserve">We check if our tools are actually saving us time or money.</t>
  </si>
  <si>
    <t xml:space="preserve">Someone in our team keeps up with what's new in technology.</t>
  </si>
  <si>
    <t xml:space="preserve">K</t>
  </si>
  <si>
    <t xml:space="preserve">We keep improving how we work — not just once and then stop.</t>
  </si>
  <si>
    <t xml:space="preserve">PART 3 OF 6</t>
  </si>
  <si>
    <t xml:space="preserve">Problem Points (Leaks) — rate 1 (Not a problem) to 5 (Major drain)</t>
  </si>
  <si>
    <t xml:space="preserve">Pain area</t>
  </si>
  <si>
    <t xml:space="preserve">Pain rating (1–5)</t>
  </si>
  <si>
    <t xml:space="preserve">Replying to emails and WhatsApp. Same questions again and again. Chasing for replies.</t>
  </si>
  <si>
    <t xml:space="preserve">Writing quotes and proposals. Replying to enquiries. Putting contracts together.</t>
  </si>
  <si>
    <t xml:space="preserve">Invoices. Receipts. Monthly reports. Chasing paperwork.</t>
  </si>
  <si>
    <t xml:space="preserve">Facebook and Instagram posts. Newsletters. Website wording. Flyers.</t>
  </si>
  <si>
    <t xml:space="preserve">Taking notes. Writing up what was decided. Follow-up emails after.</t>
  </si>
  <si>
    <t xml:space="preserve">Typing the same info in many places. Looking things up. Updating spreadsheets.</t>
  </si>
  <si>
    <t xml:space="preserve">Job ads. Training new staff. Staff handbook.</t>
  </si>
  <si>
    <t xml:space="preserve">Only one person knows how to do it. Can't find the file. Explaining the same thing to new staff.</t>
  </si>
  <si>
    <t xml:space="preserve">PART 4 OF 6</t>
  </si>
  <si>
    <t xml:space="preserve">Your top pain points in detail</t>
  </si>
  <si>
    <t xml:space="preserve">We've auto-identified your top 2 pain points from Part 3. For each one, give us a bit more detail.</t>
  </si>
  <si>
    <t xml:space="preserve">#1  Top Pain — auto:</t>
  </si>
  <si>
    <t xml:space="preserve">What does this pain look like in your business?</t>
  </si>
  <si>
    <t xml:space="preserve">What are your desired outcomes?</t>
  </si>
  <si>
    <t xml:space="preserve">Number of employees affected</t>
  </si>
  <si>
    <t xml:space="preserve">Of these, how many are local</t>
  </si>
  <si>
    <t xml:space="preserve">Of these, employed &gt; 12 months</t>
  </si>
  <si>
    <t xml:space="preserve">Any related to ACRA-listed stakeholders?</t>
  </si>
  <si>
    <t xml:space="preserve">Yes / No  (family, spouse, kids…)</t>
  </si>
  <si>
    <t xml:space="preserve">#2  Top Pain — auto:</t>
  </si>
  <si>
    <t xml:space="preserve">PART 5 OF 6</t>
  </si>
  <si>
    <t xml:space="preserve">Project logistics</t>
  </si>
  <si>
    <t xml:space="preserve">Rough budget for AI</t>
  </si>
  <si>
    <t xml:space="preserve">Dropdown</t>
  </si>
  <si>
    <t xml:space="preserve">Aware of any of these grants?</t>
  </si>
  <si>
    <t xml:space="preserve">Tick Yes for each one you know</t>
  </si>
  <si>
    <t xml:space="preserve">     • PSG</t>
  </si>
  <si>
    <t xml:space="preserve">     • EDG</t>
  </si>
  <si>
    <t xml:space="preserve">     • ECI</t>
  </si>
  <si>
    <t xml:space="preserve">     • SFEC</t>
  </si>
  <si>
    <t xml:space="preserve">Planning new hires?</t>
  </si>
  <si>
    <t xml:space="preserve">Yes / No</t>
  </si>
  <si>
    <t xml:space="preserve">If yes, how many?</t>
  </si>
  <si>
    <t xml:space="preserve">Will you champion this AI project?</t>
  </si>
  <si>
    <t xml:space="preserve">    If no — Name</t>
  </si>
  <si>
    <t xml:space="preserve">    If no — Designation</t>
  </si>
  <si>
    <t xml:space="preserve">    If no — Mobile</t>
  </si>
  <si>
    <t xml:space="preserve">    If no — Email</t>
  </si>
  <si>
    <t xml:space="preserve">Preferred date/time for a 1-on-1 with your advisor</t>
  </si>
  <si>
    <t xml:space="preserve">→  Open the 'Your Results' tab to see your score, top pain points, and a summary for your advisor.</t>
  </si>
  <si>
    <t xml:space="preserve">Your AI Readiness Discovery</t>
  </si>
  <si>
    <t xml:space="preserve">Auto-calculated from the Questionnaire tab</t>
  </si>
  <si>
    <t xml:space="preserve">Overall AI Readiness</t>
  </si>
  <si>
    <t xml:space="preserve">SPARK breakdown</t>
  </si>
  <si>
    <t xml:space="preserve">Step</t>
  </si>
  <si>
    <t xml:space="preserve">Score</t>
  </si>
  <si>
    <t xml:space="preserve">of 10</t>
  </si>
  <si>
    <t xml:space="preserve">What it asks</t>
  </si>
  <si>
    <t xml:space="preserve">S — Spot the leaks</t>
  </si>
  <si>
    <t xml:space="preserve">/ 10</t>
  </si>
  <si>
    <t xml:space="preserve">Are you systematically finding where time goes?</t>
  </si>
  <si>
    <t xml:space="preserve">P — Pilot small wins</t>
  </si>
  <si>
    <t xml:space="preserve">Are you willing to test before you commit?</t>
  </si>
  <si>
    <t xml:space="preserve">A — Apply what works</t>
  </si>
  <si>
    <t xml:space="preserve">Do good ideas turn into team habits?</t>
  </si>
  <si>
    <t xml:space="preserve">R — Review results</t>
  </si>
  <si>
    <t xml:space="preserve">Are you measuring impact honestly?</t>
  </si>
  <si>
    <t xml:space="preserve">K — Keep building</t>
  </si>
  <si>
    <t xml:space="preserve">Is improvement a habit, not a project?</t>
  </si>
  <si>
    <t xml:space="preserve">Top 3 Pain Points (Leaks)</t>
  </si>
  <si>
    <t xml:space="preserve">Rank</t>
  </si>
  <si>
    <t xml:space="preserve">Pain</t>
  </si>
  <si>
    <t xml:space="preserve">Action</t>
  </si>
  <si>
    <t xml:space="preserve">#1</t>
  </si>
  <si>
    <t xml:space="preserve">Start your pilot here.</t>
  </si>
  <si>
    <t xml:space="preserve">#2</t>
  </si>
  <si>
    <t xml:space="preserve">Save this for your second pilot.</t>
  </si>
  <si>
    <t xml:space="preserve">#3</t>
  </si>
  <si>
    <t xml:space="preserve">Worth keeping on the list.</t>
  </si>
  <si>
    <t xml:space="preserve">Top 2 pain points — your detail</t>
  </si>
  <si>
    <t xml:space="preserve">What it looks like:</t>
  </si>
  <si>
    <t xml:space="preserve">Desired outcomes:</t>
  </si>
  <si>
    <t xml:space="preserve">Grant-screening:</t>
  </si>
  <si>
    <t xml:space="preserve">Business &amp; logistics summary</t>
  </si>
  <si>
    <t xml:space="preserve">Email</t>
  </si>
  <si>
    <t xml:space="preserve">Advisor</t>
  </si>
  <si>
    <t xml:space="preserve">Budget</t>
  </si>
  <si>
    <t xml:space="preserve">Grant awareness — PSG</t>
  </si>
  <si>
    <t xml:space="preserve">Grant awareness — EDG</t>
  </si>
  <si>
    <t xml:space="preserve">Grant awareness — ECI</t>
  </si>
  <si>
    <t xml:space="preserve">Grant awareness — SFEC</t>
  </si>
  <si>
    <t xml:space="preserve">    How many?</t>
  </si>
  <si>
    <t xml:space="preserve">Will champion?</t>
  </si>
  <si>
    <t xml:space="preserve">    PIC name</t>
  </si>
  <si>
    <t xml:space="preserve">    PIC designation</t>
  </si>
  <si>
    <t xml:space="preserve">    PIC mobile</t>
  </si>
  <si>
    <t xml:space="preserve">    PIC email</t>
  </si>
  <si>
    <t xml:space="preserve">Preferred 1-on-1 date/time</t>
  </si>
  <si>
    <t xml:space="preserve">Your suggested next step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</si>
</sst>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FFFFFF"/>
      <name val="Georgia"/>
      <family val="0"/>
      <charset val="1"/>
    </font>
    <font>
      <i val="true"/>
      <sz val="12"/>
      <color rgb="FFB7EFE5"/>
      <name val="Calibri"/>
      <family val="0"/>
      <charset val="1"/>
    </font>
    <font>
      <b val="true"/>
      <sz val="18"/>
      <color rgb="FF1E293B"/>
      <name val="Georgia"/>
      <family val="0"/>
      <charset val="1"/>
    </font>
    <font>
      <sz val="11"/>
      <color rgb="FF1E293B"/>
      <name val="Calibri"/>
      <family val="0"/>
      <charset val="1"/>
    </font>
    <font>
      <b val="true"/>
      <sz val="11"/>
      <color rgb="FF01636C"/>
      <name val="Calibri"/>
      <family val="0"/>
      <charset val="1"/>
    </font>
    <font>
      <b val="true"/>
      <sz val="12"/>
      <color rgb="FFF4A261"/>
      <name val="Calibri"/>
      <family val="0"/>
      <charset val="1"/>
    </font>
    <font>
      <b val="true"/>
      <sz val="22"/>
      <color rgb="FFFFFFFF"/>
      <name val="Georgia"/>
      <family val="0"/>
      <charset val="1"/>
    </font>
    <font>
      <i val="true"/>
      <sz val="11"/>
      <color rgb="FFB7EFE5"/>
      <name val="Calibri"/>
      <family val="0"/>
      <charset val="1"/>
    </font>
    <font>
      <b val="true"/>
      <sz val="9"/>
      <color rgb="FF01636C"/>
      <name val="Calibri"/>
      <family val="0"/>
      <charset val="1"/>
    </font>
    <font>
      <b val="true"/>
      <sz val="16"/>
      <color rgb="FF1E293B"/>
      <name val="Georgia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E293B"/>
      <name val="Georgia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3"/>
      <color rgb="FF1E293B"/>
      <name val="Georgia"/>
      <family val="0"/>
      <charset val="1"/>
    </font>
    <font>
      <b val="true"/>
      <sz val="13"/>
      <color rgb="FF01636C"/>
      <name val="Georgia"/>
      <family val="0"/>
      <charset val="1"/>
    </font>
    <font>
      <b val="true"/>
      <sz val="11"/>
      <color rgb="FFF4A261"/>
      <name val="Calibri"/>
      <family val="0"/>
      <charset val="1"/>
    </font>
    <font>
      <b val="true"/>
      <sz val="11"/>
      <color rgb="FF64748B"/>
      <name val="Calibri"/>
      <family val="0"/>
      <charset val="1"/>
    </font>
    <font>
      <b val="true"/>
      <sz val="44"/>
      <color rgb="FF01636C"/>
      <name val="Georgia"/>
      <family val="0"/>
      <charset val="1"/>
    </font>
    <font>
      <b val="true"/>
      <sz val="20"/>
      <color rgb="FFF4A261"/>
      <name val="Georgia"/>
      <family val="0"/>
      <charset val="1"/>
    </font>
    <font>
      <b val="true"/>
      <sz val="14"/>
      <color rgb="FF1E293B"/>
      <name val="Georgia"/>
      <family val="0"/>
      <charset val="1"/>
    </font>
    <font>
      <sz val="10"/>
      <color rgb="FF64748B"/>
      <name val="Calibri"/>
      <family val="0"/>
      <charset val="1"/>
    </font>
    <font>
      <b val="true"/>
      <sz val="14"/>
      <color rgb="FFF4A261"/>
      <name val="Georgia"/>
      <family val="0"/>
      <charset val="1"/>
    </font>
    <font>
      <b val="true"/>
      <sz val="14"/>
      <color rgb="FF00A896"/>
      <name val="Georgia"/>
      <family val="0"/>
      <charset val="1"/>
    </font>
    <font>
      <b val="true"/>
      <sz val="14"/>
      <color rgb="FF028090"/>
      <name val="Georgia"/>
      <family val="0"/>
      <charset val="1"/>
    </font>
    <font>
      <b val="true"/>
      <sz val="12"/>
      <color rgb="FFF4A261"/>
      <name val="Georgia"/>
      <family val="0"/>
      <charset val="1"/>
    </font>
    <font>
      <sz val="10"/>
      <color rgb="FF1E293B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2"/>
      <color rgb="FF00A896"/>
      <name val="Georgia"/>
      <family val="0"/>
      <charset val="1"/>
    </font>
    <font>
      <b val="true"/>
      <sz val="10"/>
      <color rgb="FF64748B"/>
      <name val="Calibri"/>
      <family val="0"/>
      <charset val="1"/>
    </font>
    <font>
      <i val="true"/>
      <sz val="12"/>
      <color rgb="FFFFFFFF"/>
      <name val="Georg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36C"/>
        <bgColor rgb="FF028090"/>
      </patternFill>
    </fill>
    <fill>
      <patternFill patternType="solid">
        <fgColor rgb="FFF4A261"/>
        <bgColor rgb="FFFF9900"/>
      </patternFill>
    </fill>
    <fill>
      <patternFill patternType="solid">
        <fgColor rgb="FFFFFFE0"/>
        <bgColor rgb="FFFFFFFF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FFFE0"/>
      <rgbColor rgb="FFE2E8F0"/>
      <rgbColor rgb="FF660066"/>
      <rgbColor rgb="FFF4A2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636C"/>
      <rgbColor rgb="FF0000FF"/>
      <rgbColor rgb="FF00CCFF"/>
      <rgbColor rgb="FFF8FAFC"/>
      <rgbColor rgb="FFB7EF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0A896"/>
      <rgbColor rgb="FF003300"/>
      <rgbColor rgb="FF333300"/>
      <rgbColor rgb="FF993300"/>
      <rgbColor rgb="FF993366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  <col collapsed="false" customWidth="true" hidden="false" outlineLevel="0" max="3" min="3" style="0" width="2"/>
  </cols>
  <sheetData>
    <row r="1" customFormat="false" ht="12" hidden="false" customHeight="true" outlineLevel="0" collapsed="false">
      <c r="B1" s="1"/>
      <c r="C1" s="1"/>
    </row>
    <row r="2" customFormat="false" ht="60" hidden="false" customHeight="true" outlineLevel="0" collapsed="false">
      <c r="B2" s="2" t="s">
        <v>0</v>
      </c>
      <c r="C2" s="1"/>
    </row>
    <row r="3" customFormat="false" ht="27.75" hidden="false" customHeight="true" outlineLevel="0" collapsed="false">
      <c r="B3" s="3" t="s">
        <v>1</v>
      </c>
      <c r="C3" s="1"/>
    </row>
    <row r="4" customFormat="false" ht="7.5" hidden="false" customHeight="true" outlineLevel="0" collapsed="false">
      <c r="B4" s="4"/>
      <c r="C4" s="4"/>
    </row>
    <row r="6" customFormat="false" ht="24" hidden="false" customHeight="true" outlineLevel="0" collapsed="false">
      <c r="B6" s="5" t="s">
        <v>2</v>
      </c>
    </row>
    <row r="7" customFormat="false" ht="18" hidden="false" customHeight="true" outlineLevel="0" collapsed="false">
      <c r="B7" s="6" t="s">
        <v>3</v>
      </c>
    </row>
    <row r="8" customFormat="false" ht="18" hidden="false" customHeight="true" outlineLevel="0" collapsed="false">
      <c r="B8" s="6" t="s">
        <v>4</v>
      </c>
    </row>
    <row r="9" customFormat="false" ht="18" hidden="false" customHeight="true" outlineLevel="0" collapsed="false">
      <c r="B9" s="6"/>
    </row>
    <row r="10" customFormat="false" ht="18" hidden="false" customHeight="true" outlineLevel="0" collapsed="false">
      <c r="B10" s="6" t="s">
        <v>5</v>
      </c>
    </row>
    <row r="11" customFormat="false" ht="18" hidden="false" customHeight="true" outlineLevel="0" collapsed="false">
      <c r="B11" s="6" t="s">
        <v>6</v>
      </c>
    </row>
    <row r="12" customFormat="false" ht="18" hidden="false" customHeight="true" outlineLevel="0" collapsed="false">
      <c r="B12" s="6" t="s">
        <v>7</v>
      </c>
    </row>
    <row r="13" customFormat="false" ht="18" hidden="false" customHeight="true" outlineLevel="0" collapsed="false">
      <c r="B13" s="6" t="s">
        <v>8</v>
      </c>
    </row>
    <row r="14" customFormat="false" ht="18" hidden="false" customHeight="true" outlineLevel="0" collapsed="false">
      <c r="B14" s="6" t="s">
        <v>9</v>
      </c>
    </row>
    <row r="15" customFormat="false" ht="18" hidden="false" customHeight="true" outlineLevel="0" collapsed="false">
      <c r="B15" s="6" t="s">
        <v>10</v>
      </c>
    </row>
    <row r="18" customFormat="false" ht="24" hidden="false" customHeight="true" outlineLevel="0" collapsed="false">
      <c r="B18" s="5" t="s">
        <v>11</v>
      </c>
    </row>
    <row r="19" customFormat="false" ht="18" hidden="false" customHeight="true" outlineLevel="0" collapsed="false">
      <c r="B19" s="6" t="s">
        <v>12</v>
      </c>
    </row>
    <row r="20" customFormat="false" ht="18" hidden="false" customHeight="true" outlineLevel="0" collapsed="false">
      <c r="B20" s="6" t="s">
        <v>13</v>
      </c>
    </row>
    <row r="21" customFormat="false" ht="18" hidden="false" customHeight="true" outlineLevel="0" collapsed="false">
      <c r="B21" s="6" t="s">
        <v>14</v>
      </c>
    </row>
    <row r="22" customFormat="false" ht="18" hidden="false" customHeight="true" outlineLevel="0" collapsed="false">
      <c r="B22" s="6" t="s">
        <v>15</v>
      </c>
    </row>
    <row r="23" customFormat="false" ht="18" hidden="false" customHeight="true" outlineLevel="0" collapsed="false">
      <c r="B23" s="6" t="s">
        <v>16</v>
      </c>
    </row>
    <row r="26" customFormat="false" ht="24" hidden="false" customHeight="true" outlineLevel="0" collapsed="false">
      <c r="B26" s="5" t="s">
        <v>17</v>
      </c>
    </row>
    <row r="27" customFormat="false" ht="36" hidden="false" customHeight="true" outlineLevel="0" collapsed="false">
      <c r="B27" s="7" t="s">
        <v>18</v>
      </c>
    </row>
    <row r="30" customFormat="false" ht="15" hidden="false" customHeight="false" outlineLevel="0" collapsed="false">
      <c r="B30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"/>
    <col collapsed="false" customWidth="true" hidden="true" outlineLevel="0" max="13" min="11" style="0" width="14"/>
    <col collapsed="false" customWidth="true" hidden="false" outlineLevel="0" max="14" min="14" style="0" width="14"/>
  </cols>
  <sheetData>
    <row r="1" customFormat="false" ht="7.5" hidden="false" customHeight="true" outlineLevel="0" collapsed="false">
      <c r="B1" s="1"/>
      <c r="C1" s="1"/>
      <c r="D1" s="1"/>
      <c r="E1" s="1"/>
    </row>
    <row r="2" customFormat="false" ht="42" hidden="false" customHeight="true" outlineLevel="0" collapsed="false">
      <c r="B2" s="9" t="s">
        <v>20</v>
      </c>
      <c r="C2" s="1"/>
      <c r="D2" s="1"/>
      <c r="E2" s="1"/>
    </row>
    <row r="3" customFormat="false" ht="21.75" hidden="false" customHeight="true" outlineLevel="0" collapsed="false">
      <c r="B3" s="10" t="s">
        <v>21</v>
      </c>
      <c r="C3" s="1"/>
      <c r="D3" s="1"/>
      <c r="E3" s="1"/>
    </row>
    <row r="4" customFormat="false" ht="6" hidden="false" customHeight="true" outlineLevel="0" collapsed="false">
      <c r="B4" s="4"/>
      <c r="C4" s="4"/>
      <c r="D4" s="4"/>
      <c r="E4" s="4"/>
    </row>
    <row r="6" customFormat="false" ht="7.5" hidden="false" customHeight="true" outlineLevel="0" collapsed="false">
      <c r="B6" s="4"/>
      <c r="C6" s="4"/>
      <c r="D6" s="4"/>
      <c r="K6" s="0" t="s">
        <v>22</v>
      </c>
      <c r="L6" s="0" t="n">
        <f aca="false">$C$42</f>
        <v>0</v>
      </c>
      <c r="M6" s="0" t="n">
        <f aca="false">IFERROR(L6-ROW()/1000,0)</f>
        <v>-0.006</v>
      </c>
    </row>
    <row r="7" customFormat="false" ht="25.5" hidden="false" customHeight="true" outlineLevel="0" collapsed="false">
      <c r="B7" s="11" t="s">
        <v>23</v>
      </c>
      <c r="K7" s="0" t="s">
        <v>24</v>
      </c>
      <c r="L7" s="0" t="n">
        <f aca="false">$C$44</f>
        <v>0</v>
      </c>
      <c r="M7" s="0" t="n">
        <f aca="false">IFERROR(L7-ROW()/1000,0)</f>
        <v>-0.007</v>
      </c>
    </row>
    <row r="8" customFormat="false" ht="27.75" hidden="false" customHeight="true" outlineLevel="0" collapsed="false">
      <c r="B8" s="12" t="s">
        <v>25</v>
      </c>
      <c r="K8" s="0" t="s">
        <v>26</v>
      </c>
      <c r="L8" s="0" t="n">
        <f aca="false">$C$46</f>
        <v>0</v>
      </c>
      <c r="M8" s="0" t="n">
        <f aca="false">IFERROR(L8-ROW()/1000,0)</f>
        <v>-0.008</v>
      </c>
    </row>
    <row r="9" customFormat="false" ht="15" hidden="false" customHeight="false" outlineLevel="0" collapsed="false">
      <c r="K9" s="0" t="s">
        <v>27</v>
      </c>
      <c r="L9" s="0" t="n">
        <f aca="false">$C$48</f>
        <v>0</v>
      </c>
      <c r="M9" s="0" t="n">
        <f aca="false">IFERROR(L9-ROW()/1000,0)</f>
        <v>-0.009</v>
      </c>
    </row>
    <row r="10" customFormat="false" ht="21.75" hidden="false" customHeight="true" outlineLevel="0" collapsed="false">
      <c r="B10" s="13" t="s">
        <v>28</v>
      </c>
      <c r="C10" s="14"/>
      <c r="K10" s="0" t="s">
        <v>29</v>
      </c>
      <c r="L10" s="0" t="n">
        <f aca="false">$C$50</f>
        <v>0</v>
      </c>
      <c r="M10" s="0" t="n">
        <f aca="false">IFERROR(L10-ROW()/1000,0)</f>
        <v>-0.01</v>
      </c>
    </row>
    <row r="11" customFormat="false" ht="21.75" hidden="false" customHeight="true" outlineLevel="0" collapsed="false">
      <c r="B11" s="13" t="s">
        <v>30</v>
      </c>
      <c r="C11" s="14"/>
      <c r="K11" s="0" t="s">
        <v>31</v>
      </c>
      <c r="L11" s="0" t="n">
        <f aca="false">$C$52</f>
        <v>0</v>
      </c>
      <c r="M11" s="0" t="n">
        <f aca="false">IFERROR(L11-ROW()/1000,0)</f>
        <v>-0.011</v>
      </c>
    </row>
    <row r="12" customFormat="false" ht="21.75" hidden="false" customHeight="true" outlineLevel="0" collapsed="false">
      <c r="B12" s="13" t="s">
        <v>32</v>
      </c>
      <c r="C12" s="14"/>
      <c r="K12" s="0" t="s">
        <v>33</v>
      </c>
      <c r="L12" s="0" t="n">
        <f aca="false">$C$54</f>
        <v>0</v>
      </c>
      <c r="M12" s="0" t="n">
        <f aca="false">IFERROR(L12-ROW()/1000,0)</f>
        <v>-0.012</v>
      </c>
    </row>
    <row r="13" customFormat="false" ht="21.75" hidden="false" customHeight="true" outlineLevel="0" collapsed="false">
      <c r="B13" s="13" t="s">
        <v>34</v>
      </c>
      <c r="C13" s="14"/>
      <c r="K13" s="0" t="s">
        <v>35</v>
      </c>
      <c r="L13" s="0" t="n">
        <f aca="false">$C$56</f>
        <v>0</v>
      </c>
      <c r="M13" s="0" t="n">
        <f aca="false">IFERROR(L13-ROW()/1000,0)</f>
        <v>-0.013</v>
      </c>
    </row>
    <row r="14" customFormat="false" ht="21.75" hidden="false" customHeight="true" outlineLevel="0" collapsed="false">
      <c r="B14" s="13" t="s">
        <v>36</v>
      </c>
      <c r="C14" s="14"/>
      <c r="D14" s="15" t="s">
        <v>37</v>
      </c>
    </row>
    <row r="15" customFormat="false" ht="21.75" hidden="false" customHeight="true" outlineLevel="0" collapsed="false">
      <c r="B15" s="13" t="s">
        <v>38</v>
      </c>
      <c r="C15" s="14"/>
      <c r="D15" s="15" t="s">
        <v>39</v>
      </c>
    </row>
    <row r="16" customFormat="false" ht="21.75" hidden="false" customHeight="true" outlineLevel="0" collapsed="false">
      <c r="B16" s="13" t="s">
        <v>40</v>
      </c>
      <c r="C16" s="14"/>
      <c r="D16" s="15" t="s">
        <v>41</v>
      </c>
    </row>
    <row r="17" customFormat="false" ht="21.75" hidden="false" customHeight="true" outlineLevel="0" collapsed="false">
      <c r="B17" s="13" t="s">
        <v>42</v>
      </c>
      <c r="C17" s="14"/>
      <c r="D17" s="15" t="s">
        <v>41</v>
      </c>
    </row>
    <row r="18" customFormat="false" ht="21.75" hidden="false" customHeight="true" outlineLevel="0" collapsed="false">
      <c r="B18" s="13" t="s">
        <v>43</v>
      </c>
      <c r="C18" s="14"/>
    </row>
    <row r="20" customFormat="false" ht="7.5" hidden="false" customHeight="true" outlineLevel="0" collapsed="false">
      <c r="B20" s="4"/>
      <c r="C20" s="4"/>
      <c r="D20" s="4"/>
    </row>
    <row r="21" customFormat="false" ht="25.5" hidden="false" customHeight="true" outlineLevel="0" collapsed="false">
      <c r="B21" s="11" t="s">
        <v>44</v>
      </c>
    </row>
    <row r="22" customFormat="false" ht="27.75" hidden="false" customHeight="true" outlineLevel="0" collapsed="false">
      <c r="B22" s="12" t="s">
        <v>45</v>
      </c>
    </row>
    <row r="24" customFormat="false" ht="18" hidden="false" customHeight="true" outlineLevel="0" collapsed="false">
      <c r="B24" s="16" t="s">
        <v>46</v>
      </c>
      <c r="C24" s="17" t="s">
        <v>47</v>
      </c>
      <c r="D24" s="16" t="s">
        <v>48</v>
      </c>
    </row>
    <row r="25" customFormat="false" ht="30" hidden="false" customHeight="true" outlineLevel="0" collapsed="false">
      <c r="B25" s="18" t="s">
        <v>49</v>
      </c>
      <c r="C25" s="19"/>
      <c r="D25" s="20" t="s">
        <v>50</v>
      </c>
    </row>
    <row r="26" customFormat="false" ht="30" hidden="false" customHeight="true" outlineLevel="0" collapsed="false">
      <c r="B26" s="18" t="s">
        <v>51</v>
      </c>
      <c r="C26" s="19"/>
      <c r="D26" s="20" t="s">
        <v>50</v>
      </c>
    </row>
    <row r="27" customFormat="false" ht="30" hidden="false" customHeight="true" outlineLevel="0" collapsed="false">
      <c r="B27" s="18" t="s">
        <v>52</v>
      </c>
      <c r="C27" s="19"/>
      <c r="D27" s="20" t="s">
        <v>53</v>
      </c>
    </row>
    <row r="28" customFormat="false" ht="30" hidden="false" customHeight="true" outlineLevel="0" collapsed="false">
      <c r="B28" s="18" t="s">
        <v>54</v>
      </c>
      <c r="C28" s="19"/>
      <c r="D28" s="20" t="s">
        <v>53</v>
      </c>
    </row>
    <row r="29" customFormat="false" ht="30" hidden="false" customHeight="true" outlineLevel="0" collapsed="false">
      <c r="B29" s="18" t="s">
        <v>55</v>
      </c>
      <c r="C29" s="19"/>
      <c r="D29" s="20" t="s">
        <v>56</v>
      </c>
    </row>
    <row r="30" customFormat="false" ht="30" hidden="false" customHeight="true" outlineLevel="0" collapsed="false">
      <c r="B30" s="18" t="s">
        <v>57</v>
      </c>
      <c r="C30" s="19"/>
      <c r="D30" s="20" t="s">
        <v>56</v>
      </c>
    </row>
    <row r="31" customFormat="false" ht="30" hidden="false" customHeight="true" outlineLevel="0" collapsed="false">
      <c r="B31" s="18" t="s">
        <v>58</v>
      </c>
      <c r="C31" s="19"/>
      <c r="D31" s="20" t="s">
        <v>59</v>
      </c>
    </row>
    <row r="32" customFormat="false" ht="30" hidden="false" customHeight="true" outlineLevel="0" collapsed="false">
      <c r="B32" s="18" t="s">
        <v>60</v>
      </c>
      <c r="C32" s="19"/>
      <c r="D32" s="20" t="s">
        <v>59</v>
      </c>
    </row>
    <row r="33" customFormat="false" ht="30" hidden="false" customHeight="true" outlineLevel="0" collapsed="false">
      <c r="B33" s="18" t="s">
        <v>61</v>
      </c>
      <c r="C33" s="19"/>
      <c r="D33" s="20" t="s">
        <v>62</v>
      </c>
    </row>
    <row r="34" customFormat="false" ht="30" hidden="false" customHeight="true" outlineLevel="0" collapsed="false">
      <c r="B34" s="18" t="s">
        <v>63</v>
      </c>
      <c r="C34" s="19"/>
      <c r="D34" s="20" t="s">
        <v>62</v>
      </c>
    </row>
    <row r="37" customFormat="false" ht="7.5" hidden="false" customHeight="true" outlineLevel="0" collapsed="false">
      <c r="B37" s="4"/>
      <c r="C37" s="4"/>
      <c r="D37" s="4"/>
    </row>
    <row r="38" customFormat="false" ht="25.5" hidden="false" customHeight="true" outlineLevel="0" collapsed="false">
      <c r="B38" s="11" t="s">
        <v>64</v>
      </c>
    </row>
    <row r="39" customFormat="false" ht="27.75" hidden="false" customHeight="true" outlineLevel="0" collapsed="false">
      <c r="B39" s="12" t="s">
        <v>65</v>
      </c>
    </row>
    <row r="41" customFormat="false" ht="18" hidden="false" customHeight="true" outlineLevel="0" collapsed="false">
      <c r="B41" s="16" t="s">
        <v>66</v>
      </c>
      <c r="C41" s="17" t="s">
        <v>67</v>
      </c>
    </row>
    <row r="42" customFormat="false" ht="21.75" hidden="false" customHeight="true" outlineLevel="0" collapsed="false">
      <c r="B42" s="21" t="s">
        <v>22</v>
      </c>
      <c r="C42" s="22"/>
    </row>
    <row r="43" customFormat="false" ht="25.5" hidden="false" customHeight="true" outlineLevel="0" collapsed="false">
      <c r="B43" s="23" t="s">
        <v>68</v>
      </c>
      <c r="C43" s="22"/>
    </row>
    <row r="44" customFormat="false" ht="21.75" hidden="false" customHeight="true" outlineLevel="0" collapsed="false">
      <c r="B44" s="21" t="s">
        <v>24</v>
      </c>
      <c r="C44" s="22"/>
    </row>
    <row r="45" customFormat="false" ht="25.5" hidden="false" customHeight="true" outlineLevel="0" collapsed="false">
      <c r="B45" s="23" t="s">
        <v>69</v>
      </c>
      <c r="C45" s="22"/>
    </row>
    <row r="46" customFormat="false" ht="21.75" hidden="false" customHeight="true" outlineLevel="0" collapsed="false">
      <c r="B46" s="21" t="s">
        <v>26</v>
      </c>
      <c r="C46" s="22"/>
    </row>
    <row r="47" customFormat="false" ht="25.5" hidden="false" customHeight="true" outlineLevel="0" collapsed="false">
      <c r="B47" s="23" t="s">
        <v>70</v>
      </c>
      <c r="C47" s="22"/>
    </row>
    <row r="48" customFormat="false" ht="21.75" hidden="false" customHeight="true" outlineLevel="0" collapsed="false">
      <c r="B48" s="21" t="s">
        <v>27</v>
      </c>
      <c r="C48" s="22"/>
    </row>
    <row r="49" customFormat="false" ht="25.5" hidden="false" customHeight="true" outlineLevel="0" collapsed="false">
      <c r="B49" s="23" t="s">
        <v>71</v>
      </c>
      <c r="C49" s="22"/>
    </row>
    <row r="50" customFormat="false" ht="21.75" hidden="false" customHeight="true" outlineLevel="0" collapsed="false">
      <c r="B50" s="21" t="s">
        <v>29</v>
      </c>
      <c r="C50" s="22"/>
    </row>
    <row r="51" customFormat="false" ht="25.5" hidden="false" customHeight="true" outlineLevel="0" collapsed="false">
      <c r="B51" s="23" t="s">
        <v>72</v>
      </c>
      <c r="C51" s="22"/>
    </row>
    <row r="52" customFormat="false" ht="21.75" hidden="false" customHeight="true" outlineLevel="0" collapsed="false">
      <c r="B52" s="21" t="s">
        <v>31</v>
      </c>
      <c r="C52" s="22"/>
    </row>
    <row r="53" customFormat="false" ht="25.5" hidden="false" customHeight="true" outlineLevel="0" collapsed="false">
      <c r="B53" s="23" t="s">
        <v>73</v>
      </c>
      <c r="C53" s="22"/>
    </row>
    <row r="54" customFormat="false" ht="21.75" hidden="false" customHeight="true" outlineLevel="0" collapsed="false">
      <c r="B54" s="21" t="s">
        <v>33</v>
      </c>
      <c r="C54" s="22"/>
    </row>
    <row r="55" customFormat="false" ht="25.5" hidden="false" customHeight="true" outlineLevel="0" collapsed="false">
      <c r="B55" s="23" t="s">
        <v>74</v>
      </c>
      <c r="C55" s="22"/>
    </row>
    <row r="56" customFormat="false" ht="21.75" hidden="false" customHeight="true" outlineLevel="0" collapsed="false">
      <c r="B56" s="21" t="s">
        <v>35</v>
      </c>
      <c r="C56" s="22"/>
    </row>
    <row r="57" customFormat="false" ht="25.5" hidden="false" customHeight="true" outlineLevel="0" collapsed="false">
      <c r="B57" s="23" t="s">
        <v>75</v>
      </c>
      <c r="C57" s="22"/>
    </row>
    <row r="59" customFormat="false" ht="7.5" hidden="false" customHeight="true" outlineLevel="0" collapsed="false">
      <c r="B59" s="4"/>
      <c r="C59" s="4"/>
      <c r="D59" s="4"/>
    </row>
    <row r="60" customFormat="false" ht="25.5" hidden="false" customHeight="true" outlineLevel="0" collapsed="false">
      <c r="B60" s="11" t="s">
        <v>76</v>
      </c>
    </row>
    <row r="61" customFormat="false" ht="27.75" hidden="false" customHeight="true" outlineLevel="0" collapsed="false">
      <c r="B61" s="12" t="s">
        <v>77</v>
      </c>
    </row>
    <row r="63" customFormat="false" ht="30" hidden="false" customHeight="true" outlineLevel="0" collapsed="false">
      <c r="B63" s="24" t="s">
        <v>78</v>
      </c>
    </row>
    <row r="65" customFormat="false" ht="25.5" hidden="false" customHeight="true" outlineLevel="0" collapsed="false">
      <c r="B65" s="25" t="s">
        <v>79</v>
      </c>
      <c r="C65" s="26" t="str">
        <f aca="false">IFERROR(INDEX(K6:K13,MATCH(LARGE(M6:M13,1),M6:M13,0)),"(complete Part 3)")</f>
        <v>Customer communication</v>
      </c>
      <c r="D65" s="27" t="str">
        <f aca="false">IFERROR("Pain rating: "&amp;TEXT(LARGE(L6:L13,1),"0")&amp;"/5","")</f>
        <v>Pain rating: 0/5</v>
      </c>
    </row>
    <row r="66" customFormat="false" ht="37.5" hidden="false" customHeight="true" outlineLevel="0" collapsed="false">
      <c r="B66" s="13" t="s">
        <v>80</v>
      </c>
      <c r="C66" s="28"/>
      <c r="D66" s="28"/>
    </row>
    <row r="67" customFormat="false" ht="37.5" hidden="false" customHeight="true" outlineLevel="0" collapsed="false">
      <c r="B67" s="13" t="s">
        <v>81</v>
      </c>
      <c r="C67" s="28"/>
      <c r="D67" s="28"/>
    </row>
    <row r="68" customFormat="false" ht="21.75" hidden="false" customHeight="true" outlineLevel="0" collapsed="false">
      <c r="B68" s="13" t="s">
        <v>82</v>
      </c>
      <c r="C68" s="14"/>
      <c r="D68" s="15" t="s">
        <v>41</v>
      </c>
    </row>
    <row r="69" customFormat="false" ht="21.75" hidden="false" customHeight="true" outlineLevel="0" collapsed="false">
      <c r="B69" s="13" t="s">
        <v>83</v>
      </c>
      <c r="C69" s="14"/>
      <c r="D69" s="15" t="s">
        <v>41</v>
      </c>
    </row>
    <row r="70" customFormat="false" ht="21.75" hidden="false" customHeight="true" outlineLevel="0" collapsed="false">
      <c r="B70" s="13" t="s">
        <v>84</v>
      </c>
      <c r="C70" s="14"/>
      <c r="D70" s="15" t="s">
        <v>41</v>
      </c>
    </row>
    <row r="71" customFormat="false" ht="21.75" hidden="false" customHeight="true" outlineLevel="0" collapsed="false">
      <c r="B71" s="13" t="s">
        <v>85</v>
      </c>
      <c r="C71" s="14"/>
      <c r="D71" s="15" t="s">
        <v>86</v>
      </c>
    </row>
    <row r="73" customFormat="false" ht="25.5" hidden="false" customHeight="true" outlineLevel="0" collapsed="false">
      <c r="B73" s="25" t="s">
        <v>87</v>
      </c>
      <c r="C73" s="26" t="str">
        <f aca="false">IFERROR(INDEX(K6:K13,MATCH(LARGE(M6:M13,2),M6:M13,0)),"(complete Part 3)")</f>
        <v>Sales &amp; quotes</v>
      </c>
      <c r="D73" s="27" t="str">
        <f aca="false">IFERROR("Pain rating: "&amp;TEXT(LARGE(L6:L13,2),"0")&amp;"/5","")</f>
        <v>Pain rating: 0/5</v>
      </c>
    </row>
    <row r="74" customFormat="false" ht="37.5" hidden="false" customHeight="true" outlineLevel="0" collapsed="false">
      <c r="B74" s="13" t="s">
        <v>80</v>
      </c>
      <c r="C74" s="28"/>
      <c r="D74" s="28"/>
    </row>
    <row r="75" customFormat="false" ht="37.5" hidden="false" customHeight="true" outlineLevel="0" collapsed="false">
      <c r="B75" s="13" t="s">
        <v>81</v>
      </c>
      <c r="C75" s="28"/>
      <c r="D75" s="28"/>
    </row>
    <row r="76" customFormat="false" ht="21.75" hidden="false" customHeight="true" outlineLevel="0" collapsed="false">
      <c r="B76" s="13" t="s">
        <v>82</v>
      </c>
      <c r="C76" s="14"/>
      <c r="D76" s="15" t="s">
        <v>41</v>
      </c>
    </row>
    <row r="77" customFormat="false" ht="21.75" hidden="false" customHeight="true" outlineLevel="0" collapsed="false">
      <c r="B77" s="13" t="s">
        <v>83</v>
      </c>
      <c r="C77" s="14"/>
      <c r="D77" s="15" t="s">
        <v>41</v>
      </c>
    </row>
    <row r="78" customFormat="false" ht="21.75" hidden="false" customHeight="true" outlineLevel="0" collapsed="false">
      <c r="B78" s="13" t="s">
        <v>84</v>
      </c>
      <c r="C78" s="14"/>
      <c r="D78" s="15" t="s">
        <v>41</v>
      </c>
    </row>
    <row r="79" customFormat="false" ht="21.75" hidden="false" customHeight="true" outlineLevel="0" collapsed="false">
      <c r="B79" s="13" t="s">
        <v>85</v>
      </c>
      <c r="C79" s="14"/>
      <c r="D79" s="15" t="s">
        <v>86</v>
      </c>
    </row>
    <row r="81" customFormat="false" ht="7.5" hidden="false" customHeight="true" outlineLevel="0" collapsed="false">
      <c r="B81" s="4"/>
      <c r="C81" s="4"/>
      <c r="D81" s="4"/>
    </row>
    <row r="82" customFormat="false" ht="25.5" hidden="false" customHeight="true" outlineLevel="0" collapsed="false">
      <c r="B82" s="11" t="s">
        <v>88</v>
      </c>
    </row>
    <row r="83" customFormat="false" ht="27.75" hidden="false" customHeight="true" outlineLevel="0" collapsed="false">
      <c r="B83" s="12" t="s">
        <v>89</v>
      </c>
    </row>
    <row r="85" customFormat="false" ht="21.75" hidden="false" customHeight="true" outlineLevel="0" collapsed="false">
      <c r="B85" s="13" t="s">
        <v>90</v>
      </c>
      <c r="C85" s="14"/>
      <c r="D85" s="15" t="s">
        <v>91</v>
      </c>
    </row>
    <row r="86" customFormat="false" ht="21.75" hidden="false" customHeight="true" outlineLevel="0" collapsed="false">
      <c r="B86" s="6" t="s">
        <v>92</v>
      </c>
      <c r="D86" s="29" t="s">
        <v>93</v>
      </c>
    </row>
    <row r="87" customFormat="false" ht="19.5" hidden="false" customHeight="true" outlineLevel="0" collapsed="false">
      <c r="B87" s="6" t="s">
        <v>94</v>
      </c>
      <c r="C87" s="30"/>
    </row>
    <row r="88" customFormat="false" ht="19.5" hidden="false" customHeight="true" outlineLevel="0" collapsed="false">
      <c r="B88" s="6" t="s">
        <v>95</v>
      </c>
      <c r="C88" s="30"/>
    </row>
    <row r="89" customFormat="false" ht="19.5" hidden="false" customHeight="true" outlineLevel="0" collapsed="false">
      <c r="B89" s="6" t="s">
        <v>96</v>
      </c>
      <c r="C89" s="30"/>
    </row>
    <row r="90" customFormat="false" ht="19.5" hidden="false" customHeight="true" outlineLevel="0" collapsed="false">
      <c r="B90" s="6" t="s">
        <v>97</v>
      </c>
      <c r="C90" s="30"/>
    </row>
    <row r="91" customFormat="false" ht="21.75" hidden="false" customHeight="true" outlineLevel="0" collapsed="false">
      <c r="B91" s="13" t="s">
        <v>98</v>
      </c>
      <c r="C91" s="14"/>
      <c r="D91" s="15" t="s">
        <v>99</v>
      </c>
    </row>
    <row r="92" customFormat="false" ht="21.75" hidden="false" customHeight="true" outlineLevel="0" collapsed="false">
      <c r="B92" s="13" t="s">
        <v>100</v>
      </c>
      <c r="C92" s="14"/>
      <c r="D92" s="15" t="s">
        <v>41</v>
      </c>
    </row>
    <row r="93" customFormat="false" ht="21.75" hidden="false" customHeight="true" outlineLevel="0" collapsed="false">
      <c r="B93" s="13" t="s">
        <v>101</v>
      </c>
      <c r="C93" s="14"/>
      <c r="D93" s="15" t="s">
        <v>99</v>
      </c>
    </row>
    <row r="94" customFormat="false" ht="21.75" hidden="false" customHeight="true" outlineLevel="0" collapsed="false">
      <c r="B94" s="13" t="s">
        <v>102</v>
      </c>
      <c r="C94" s="14"/>
    </row>
    <row r="95" customFormat="false" ht="21.75" hidden="false" customHeight="true" outlineLevel="0" collapsed="false">
      <c r="B95" s="13" t="s">
        <v>103</v>
      </c>
      <c r="C95" s="14"/>
    </row>
    <row r="96" customFormat="false" ht="21.75" hidden="false" customHeight="true" outlineLevel="0" collapsed="false">
      <c r="B96" s="13" t="s">
        <v>104</v>
      </c>
      <c r="C96" s="14"/>
    </row>
    <row r="97" customFormat="false" ht="21.75" hidden="false" customHeight="true" outlineLevel="0" collapsed="false">
      <c r="B97" s="13" t="s">
        <v>105</v>
      </c>
      <c r="C97" s="14"/>
    </row>
    <row r="98" customFormat="false" ht="25.5" hidden="false" customHeight="true" outlineLevel="0" collapsed="false">
      <c r="B98" s="13" t="s">
        <v>106</v>
      </c>
      <c r="C98" s="14"/>
      <c r="D98" s="14"/>
    </row>
    <row r="101" customFormat="false" ht="15" hidden="false" customHeight="false" outlineLevel="0" collapsed="false">
      <c r="B101" s="31" t="s">
        <v>107</v>
      </c>
    </row>
  </sheetData>
  <mergeCells count="13">
    <mergeCell ref="C42:C43"/>
    <mergeCell ref="C44:C45"/>
    <mergeCell ref="C46:C47"/>
    <mergeCell ref="C48:C49"/>
    <mergeCell ref="C50:C51"/>
    <mergeCell ref="C52:C53"/>
    <mergeCell ref="C54:C55"/>
    <mergeCell ref="C56:C57"/>
    <mergeCell ref="C66:D66"/>
    <mergeCell ref="C67:D67"/>
    <mergeCell ref="C74:D74"/>
    <mergeCell ref="C75:D75"/>
    <mergeCell ref="C98:D98"/>
  </mergeCells>
  <dataValidations count="10">
    <dataValidation allowBlank="true" errorStyle="stop" operator="between" showDropDown="false" showErrorMessage="false" showInputMessage="false" sqref="C14" type="list">
      <formula1>"F&amp;B,Retail,Professional Services,Manufacturing,Logistics &amp; Transport,Construction,Healthcare,Education / Training,Wholesale / Trading,Other"</formula1>
      <formula2>0</formula2>
    </dataValidation>
    <dataValidation allowBlank="true" errorStyle="stop" operator="between" showDropDown="false" showErrorMessage="false" showInputMessage="false" sqref="C15" type="list">
      <formula1>"1–5,6–20,21–50,51–200,200+"</formula1>
      <formula2>0</formula2>
    </dataValidation>
    <dataValidation allowBlank="true" errorStyle="stop" operator="between" showDropDown="false" showErrorMessage="false" showInputMessage="false" sqref="C25:C34" type="list">
      <formula1>"1,2,3,4,5"</formula1>
      <formula2>0</formula2>
    </dataValidation>
    <dataValidation allowBlank="true" errorStyle="stop" operator="between" showDropDown="false" showErrorMessage="false" showInputMessage="false" sqref="C42 C44 C46 C48 C50 C52 C54 C56" type="list">
      <formula1>"1,2,3,4,5"</formula1>
      <formula2>0</formula2>
    </dataValidation>
    <dataValidation allowBlank="true" errorStyle="stop" operator="between" showDropDown="false" showErrorMessage="false" showInputMessage="false" sqref="C71" type="list">
      <formula1>"Yes,No"</formula1>
      <formula2>0</formula2>
    </dataValidation>
    <dataValidation allowBlank="true" errorStyle="stop" operator="between" showDropDown="false" showErrorMessage="false" showInputMessage="false" sqref="C79" type="list">
      <formula1>"Yes,No"</formula1>
      <formula2>0</formula2>
    </dataValidation>
    <dataValidation allowBlank="true" errorStyle="stop" operator="between" showDropDown="false" showErrorMessage="false" showInputMessage="false" sqref="C85" type="list">
      <formula1>"Less than $10K,$10K – $50K,$50K – $100K,More than $100K,Not sure yet"</formula1>
      <formula2>0</formula2>
    </dataValidation>
    <dataValidation allowBlank="true" errorStyle="stop" operator="between" showDropDown="false" showErrorMessage="false" showInputMessage="false" sqref="C87:C90" type="list">
      <formula1>"Yes,No"</formula1>
      <formula2>0</formula2>
    </dataValidation>
    <dataValidation allowBlank="true" errorStyle="stop" operator="between" showDropDown="false" showErrorMessage="false" showInputMessage="false" sqref="C91" type="list">
      <formula1>"Yes,No"</formula1>
      <formula2>0</formula2>
    </dataValidation>
    <dataValidation allowBlank="true" errorStyle="stop" operator="between" showDropDown="false" showErrorMessage="false" showInputMessage="false" sqref="C93" type="list">
      <formula1>"Yes,No"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8"/>
  </cols>
  <sheetData>
    <row r="1" customFormat="false" ht="7.5" hidden="false" customHeight="true" outlineLevel="0" collapsed="false">
      <c r="B1" s="1"/>
      <c r="C1" s="1"/>
      <c r="D1" s="1"/>
      <c r="E1" s="1"/>
    </row>
    <row r="2" customFormat="false" ht="42" hidden="false" customHeight="true" outlineLevel="0" collapsed="false">
      <c r="B2" s="9" t="s">
        <v>108</v>
      </c>
      <c r="C2" s="1"/>
      <c r="D2" s="1"/>
      <c r="E2" s="1"/>
    </row>
    <row r="3" customFormat="false" ht="21.75" hidden="false" customHeight="true" outlineLevel="0" collapsed="false">
      <c r="B3" s="10" t="s">
        <v>109</v>
      </c>
      <c r="C3" s="1"/>
      <c r="D3" s="1"/>
      <c r="E3" s="1"/>
    </row>
    <row r="4" customFormat="false" ht="6" hidden="false" customHeight="true" outlineLevel="0" collapsed="false">
      <c r="B4" s="4"/>
      <c r="C4" s="4"/>
      <c r="D4" s="4"/>
      <c r="E4" s="4"/>
    </row>
    <row r="6" customFormat="false" ht="15" hidden="false" customHeight="false" outlineLevel="0" collapsed="false">
      <c r="B6" s="32" t="s">
        <v>110</v>
      </c>
    </row>
    <row r="7" customFormat="false" ht="55.5" hidden="false" customHeight="true" outlineLevel="0" collapsed="false">
      <c r="B7" s="33" t="n">
        <f aca="false">ROUND(SUM(Questionnaire!C25:C34)/50*100,0)/100</f>
        <v>0</v>
      </c>
      <c r="C7" s="34" t="str">
        <f aca="false">IF(SUM(Questionnaire!C25:C34)=0,"—",IF(SUM(Questionnaire!C25:C34)/50&lt;0.3,"Just starting",IF(SUM(Questionnaire!C25:C34)/50&lt;0.55,"Getting going",IF(SUM(Questionnaire!C25:C34)/50&lt;0.75,"Building momentum","Well underway"))))</f>
        <v>—</v>
      </c>
      <c r="D7" s="34"/>
      <c r="E7" s="34"/>
    </row>
    <row r="9" customFormat="false" ht="17.35" hidden="false" customHeight="false" outlineLevel="0" collapsed="false">
      <c r="B9" s="35" t="s">
        <v>111</v>
      </c>
    </row>
    <row r="10" customFormat="false" ht="18" hidden="false" customHeight="true" outlineLevel="0" collapsed="false">
      <c r="B10" s="36" t="s">
        <v>112</v>
      </c>
      <c r="C10" s="36" t="s">
        <v>113</v>
      </c>
      <c r="D10" s="36" t="s">
        <v>114</v>
      </c>
      <c r="E10" s="36" t="s">
        <v>115</v>
      </c>
    </row>
    <row r="11" customFormat="false" ht="21.75" hidden="false" customHeight="true" outlineLevel="0" collapsed="false">
      <c r="B11" s="21" t="s">
        <v>116</v>
      </c>
      <c r="C11" s="37" t="n">
        <f aca="false">SUM(Questionnaire!C25,Questionnaire!C26)</f>
        <v>0</v>
      </c>
      <c r="D11" s="38" t="s">
        <v>117</v>
      </c>
      <c r="E11" s="27" t="s">
        <v>118</v>
      </c>
    </row>
    <row r="12" customFormat="false" ht="21.75" hidden="false" customHeight="true" outlineLevel="0" collapsed="false">
      <c r="B12" s="21" t="s">
        <v>119</v>
      </c>
      <c r="C12" s="37" t="n">
        <f aca="false">SUM(Questionnaire!C27,Questionnaire!C28)</f>
        <v>0</v>
      </c>
      <c r="D12" s="38" t="s">
        <v>117</v>
      </c>
      <c r="E12" s="27" t="s">
        <v>120</v>
      </c>
    </row>
    <row r="13" customFormat="false" ht="21.75" hidden="false" customHeight="true" outlineLevel="0" collapsed="false">
      <c r="B13" s="21" t="s">
        <v>121</v>
      </c>
      <c r="C13" s="37" t="n">
        <f aca="false">SUM(Questionnaire!C29,Questionnaire!C30)</f>
        <v>0</v>
      </c>
      <c r="D13" s="38" t="s">
        <v>117</v>
      </c>
      <c r="E13" s="27" t="s">
        <v>122</v>
      </c>
    </row>
    <row r="14" customFormat="false" ht="21.75" hidden="false" customHeight="true" outlineLevel="0" collapsed="false">
      <c r="B14" s="21" t="s">
        <v>123</v>
      </c>
      <c r="C14" s="37" t="n">
        <f aca="false">SUM(Questionnaire!C31,Questionnaire!C32)</f>
        <v>0</v>
      </c>
      <c r="D14" s="38" t="s">
        <v>117</v>
      </c>
      <c r="E14" s="27" t="s">
        <v>124</v>
      </c>
    </row>
    <row r="15" customFormat="false" ht="21.75" hidden="false" customHeight="true" outlineLevel="0" collapsed="false">
      <c r="B15" s="21" t="s">
        <v>125</v>
      </c>
      <c r="C15" s="37" t="n">
        <f aca="false">SUM(Questionnaire!C33,Questionnaire!C34)</f>
        <v>0</v>
      </c>
      <c r="D15" s="38" t="s">
        <v>117</v>
      </c>
      <c r="E15" s="27" t="s">
        <v>126</v>
      </c>
    </row>
    <row r="17" customFormat="false" ht="17.35" hidden="false" customHeight="false" outlineLevel="0" collapsed="false">
      <c r="B17" s="35" t="s">
        <v>127</v>
      </c>
    </row>
    <row r="18" customFormat="false" ht="18" hidden="false" customHeight="true" outlineLevel="0" collapsed="false">
      <c r="B18" s="36" t="s">
        <v>128</v>
      </c>
      <c r="C18" s="36" t="s">
        <v>66</v>
      </c>
      <c r="D18" s="36" t="s">
        <v>129</v>
      </c>
      <c r="E18" s="36" t="s">
        <v>130</v>
      </c>
    </row>
    <row r="19" customFormat="false" ht="21.75" hidden="false" customHeight="true" outlineLevel="0" collapsed="false">
      <c r="B19" s="39" t="s">
        <v>131</v>
      </c>
      <c r="C19" s="21" t="str">
        <f aca="false">IFERROR(INDEX(Questionnaire!K6:K13,MATCH(LARGE(Questionnaire!M6:M13,1),Questionnaire!M6:M13,0)),"—")</f>
        <v>Customer communication</v>
      </c>
      <c r="D19" s="40" t="str">
        <f aca="false">IFERROR(LARGE(Questionnaire!L6:L13,1)&amp;"/5","—")</f>
        <v>0/5</v>
      </c>
      <c r="E19" s="27" t="s">
        <v>132</v>
      </c>
    </row>
    <row r="20" customFormat="false" ht="21.75" hidden="false" customHeight="true" outlineLevel="0" collapsed="false">
      <c r="B20" s="41" t="s">
        <v>133</v>
      </c>
      <c r="C20" s="21" t="str">
        <f aca="false">IFERROR(INDEX(Questionnaire!K6:K13,MATCH(LARGE(Questionnaire!M6:M13,2),Questionnaire!M6:M13,0)),"—")</f>
        <v>Sales &amp; quotes</v>
      </c>
      <c r="D20" s="40" t="str">
        <f aca="false">IFERROR(LARGE(Questionnaire!L6:L13,2)&amp;"/5","—")</f>
        <v>0/5</v>
      </c>
      <c r="E20" s="27" t="s">
        <v>134</v>
      </c>
    </row>
    <row r="21" customFormat="false" ht="21.75" hidden="false" customHeight="true" outlineLevel="0" collapsed="false">
      <c r="B21" s="42" t="s">
        <v>135</v>
      </c>
      <c r="C21" s="21" t="str">
        <f aca="false">IFERROR(INDEX(Questionnaire!K6:K13,MATCH(LARGE(Questionnaire!M6:M13,3),Questionnaire!M6:M13,0)),"—")</f>
        <v>Admin &amp; paperwork</v>
      </c>
      <c r="D21" s="40" t="str">
        <f aca="false">IFERROR(LARGE(Questionnaire!L6:L13,3)&amp;"/5","—")</f>
        <v>0/5</v>
      </c>
      <c r="E21" s="27" t="s">
        <v>136</v>
      </c>
    </row>
    <row r="23" customFormat="false" ht="17.35" hidden="false" customHeight="false" outlineLevel="0" collapsed="false">
      <c r="B23" s="35" t="s">
        <v>137</v>
      </c>
    </row>
    <row r="24" customFormat="false" ht="21.75" hidden="false" customHeight="true" outlineLevel="0" collapsed="false">
      <c r="B24" s="43" t="s">
        <v>131</v>
      </c>
      <c r="C24" s="44" t="str">
        <f aca="false">Questionnaire!C65</f>
        <v>Customer communication</v>
      </c>
      <c r="D24" s="44"/>
      <c r="E24" s="44"/>
    </row>
    <row r="25" customFormat="false" ht="39.75" hidden="false" customHeight="true" outlineLevel="0" collapsed="false">
      <c r="B25" s="45" t="s">
        <v>138</v>
      </c>
      <c r="C25" s="46" t="n">
        <f aca="false">Questionnaire!C66</f>
        <v>0</v>
      </c>
      <c r="D25" s="46"/>
      <c r="E25" s="46"/>
    </row>
    <row r="26" customFormat="false" ht="39.75" hidden="false" customHeight="true" outlineLevel="0" collapsed="false">
      <c r="B26" s="45" t="s">
        <v>139</v>
      </c>
      <c r="C26" s="46" t="n">
        <f aca="false">Questionnaire!C67</f>
        <v>0</v>
      </c>
      <c r="D26" s="46"/>
      <c r="E26" s="46"/>
    </row>
    <row r="27" customFormat="false" ht="21.75" hidden="false" customHeight="true" outlineLevel="0" collapsed="false">
      <c r="B27" s="47" t="s">
        <v>140</v>
      </c>
      <c r="C27" s="48" t="str">
        <f aca="false">IF(Questionnaire!C68="","—",Questionnaire!C68&amp;" affected · "&amp;IF(Questionnaire!C69="","?",Questionnaire!C69)&amp;" local · "&amp;IF(Questionnaire!C70="","?",Questionnaire!C70)&amp;" &gt;12mo · ACRA: "&amp;IF(Questionnaire!C71="","?",Questionnaire!C71))</f>
        <v>—</v>
      </c>
      <c r="D27" s="48"/>
      <c r="E27" s="48"/>
    </row>
    <row r="29" customFormat="false" ht="21.75" hidden="false" customHeight="true" outlineLevel="0" collapsed="false">
      <c r="B29" s="49" t="s">
        <v>133</v>
      </c>
      <c r="C29" s="44" t="str">
        <f aca="false">Questionnaire!C73</f>
        <v>Sales &amp; quotes</v>
      </c>
      <c r="D29" s="44"/>
      <c r="E29" s="44"/>
    </row>
    <row r="30" customFormat="false" ht="39.75" hidden="false" customHeight="true" outlineLevel="0" collapsed="false">
      <c r="B30" s="45" t="s">
        <v>138</v>
      </c>
      <c r="C30" s="46" t="n">
        <f aca="false">Questionnaire!C74</f>
        <v>0</v>
      </c>
      <c r="D30" s="46"/>
      <c r="E30" s="46"/>
    </row>
    <row r="31" customFormat="false" ht="39.75" hidden="false" customHeight="true" outlineLevel="0" collapsed="false">
      <c r="B31" s="45" t="s">
        <v>139</v>
      </c>
      <c r="C31" s="46" t="n">
        <f aca="false">Questionnaire!C75</f>
        <v>0</v>
      </c>
      <c r="D31" s="46"/>
      <c r="E31" s="46"/>
    </row>
    <row r="32" customFormat="false" ht="21.75" hidden="false" customHeight="true" outlineLevel="0" collapsed="false">
      <c r="B32" s="47" t="s">
        <v>140</v>
      </c>
      <c r="C32" s="48" t="str">
        <f aca="false">IF(Questionnaire!C76="","—",Questionnaire!C76&amp;" affected · "&amp;IF(Questionnaire!C77="","?",Questionnaire!C77)&amp;" local · "&amp;IF(Questionnaire!C78="","?",Questionnaire!C78)&amp;" &gt;12mo · ACRA: "&amp;IF(Questionnaire!C79="","?",Questionnaire!C79))</f>
        <v>—</v>
      </c>
      <c r="D32" s="48"/>
      <c r="E32" s="48"/>
    </row>
    <row r="35" customFormat="false" ht="17.35" hidden="false" customHeight="false" outlineLevel="0" collapsed="false">
      <c r="B35" s="35" t="s">
        <v>141</v>
      </c>
    </row>
    <row r="36" customFormat="false" ht="19.5" hidden="false" customHeight="true" outlineLevel="0" collapsed="false">
      <c r="B36" s="50" t="s">
        <v>28</v>
      </c>
      <c r="C36" s="51" t="str">
        <f aca="false">IF(Questionnaire!C10="","—",Questionnaire!C10)</f>
        <v>—</v>
      </c>
      <c r="D36" s="51"/>
      <c r="E36" s="51"/>
    </row>
    <row r="37" customFormat="false" ht="19.5" hidden="false" customHeight="true" outlineLevel="0" collapsed="false">
      <c r="B37" s="50" t="s">
        <v>30</v>
      </c>
      <c r="C37" s="51" t="str">
        <f aca="false">IF(Questionnaire!C11="","—",Questionnaire!C11)</f>
        <v>—</v>
      </c>
      <c r="D37" s="51"/>
      <c r="E37" s="51"/>
    </row>
    <row r="38" customFormat="false" ht="19.5" hidden="false" customHeight="true" outlineLevel="0" collapsed="false">
      <c r="B38" s="50" t="s">
        <v>32</v>
      </c>
      <c r="C38" s="51" t="str">
        <f aca="false">IF(Questionnaire!C12="","—",Questionnaire!C12)</f>
        <v>—</v>
      </c>
      <c r="D38" s="51"/>
      <c r="E38" s="51"/>
    </row>
    <row r="39" customFormat="false" ht="19.5" hidden="false" customHeight="true" outlineLevel="0" collapsed="false">
      <c r="B39" s="50" t="s">
        <v>142</v>
      </c>
      <c r="C39" s="51" t="str">
        <f aca="false">IF(Questionnaire!C13="","—",Questionnaire!C13)</f>
        <v>—</v>
      </c>
      <c r="D39" s="51"/>
      <c r="E39" s="51"/>
    </row>
    <row r="40" customFormat="false" ht="19.5" hidden="false" customHeight="true" outlineLevel="0" collapsed="false">
      <c r="B40" s="50" t="s">
        <v>36</v>
      </c>
      <c r="C40" s="51" t="str">
        <f aca="false">IF(Questionnaire!C14="","—",Questionnaire!C14)</f>
        <v>—</v>
      </c>
      <c r="D40" s="51"/>
      <c r="E40" s="51"/>
    </row>
    <row r="41" customFormat="false" ht="19.5" hidden="false" customHeight="true" outlineLevel="0" collapsed="false">
      <c r="B41" s="50" t="s">
        <v>38</v>
      </c>
      <c r="C41" s="51" t="str">
        <f aca="false">IF(Questionnaire!C15="","—",Questionnaire!C15)</f>
        <v>—</v>
      </c>
      <c r="D41" s="51"/>
      <c r="E41" s="51"/>
    </row>
    <row r="42" customFormat="false" ht="19.5" hidden="false" customHeight="true" outlineLevel="0" collapsed="false">
      <c r="B42" s="50" t="s">
        <v>40</v>
      </c>
      <c r="C42" s="51" t="str">
        <f aca="false">IF(Questionnaire!C16="","—",Questionnaire!C16)</f>
        <v>—</v>
      </c>
      <c r="D42" s="51"/>
      <c r="E42" s="51"/>
    </row>
    <row r="43" customFormat="false" ht="19.5" hidden="false" customHeight="true" outlineLevel="0" collapsed="false">
      <c r="B43" s="50" t="s">
        <v>42</v>
      </c>
      <c r="C43" s="51" t="str">
        <f aca="false">IF(Questionnaire!C17="","—",Questionnaire!C17)</f>
        <v>—</v>
      </c>
      <c r="D43" s="51"/>
      <c r="E43" s="51"/>
    </row>
    <row r="44" customFormat="false" ht="19.5" hidden="false" customHeight="true" outlineLevel="0" collapsed="false">
      <c r="B44" s="50" t="s">
        <v>143</v>
      </c>
      <c r="C44" s="51" t="str">
        <f aca="false">IF(Questionnaire!C18="","—",Questionnaire!C18)</f>
        <v>—</v>
      </c>
      <c r="D44" s="51"/>
      <c r="E44" s="51"/>
    </row>
    <row r="45" customFormat="false" ht="19.5" hidden="false" customHeight="true" outlineLevel="0" collapsed="false">
      <c r="B45" s="50" t="s">
        <v>144</v>
      </c>
      <c r="C45" s="51" t="str">
        <f aca="false">IF(Questionnaire!C85="","—",Questionnaire!C85)</f>
        <v>—</v>
      </c>
      <c r="D45" s="51"/>
      <c r="E45" s="51"/>
    </row>
    <row r="46" customFormat="false" ht="19.5" hidden="false" customHeight="true" outlineLevel="0" collapsed="false">
      <c r="B46" s="50" t="s">
        <v>145</v>
      </c>
      <c r="C46" s="51" t="str">
        <f aca="false">IF(Questionnaire!C87="","—",Questionnaire!C87)</f>
        <v>—</v>
      </c>
      <c r="D46" s="51"/>
      <c r="E46" s="51"/>
    </row>
    <row r="47" customFormat="false" ht="19.5" hidden="false" customHeight="true" outlineLevel="0" collapsed="false">
      <c r="B47" s="50" t="s">
        <v>146</v>
      </c>
      <c r="C47" s="51" t="str">
        <f aca="false">IF(Questionnaire!C88="","—",Questionnaire!C88)</f>
        <v>—</v>
      </c>
      <c r="D47" s="51"/>
      <c r="E47" s="51"/>
    </row>
    <row r="48" customFormat="false" ht="19.5" hidden="false" customHeight="true" outlineLevel="0" collapsed="false">
      <c r="B48" s="50" t="s">
        <v>147</v>
      </c>
      <c r="C48" s="51" t="str">
        <f aca="false">IF(Questionnaire!C89="","—",Questionnaire!C89)</f>
        <v>—</v>
      </c>
      <c r="D48" s="51"/>
      <c r="E48" s="51"/>
    </row>
    <row r="49" customFormat="false" ht="19.5" hidden="false" customHeight="true" outlineLevel="0" collapsed="false">
      <c r="B49" s="50" t="s">
        <v>148</v>
      </c>
      <c r="C49" s="51" t="str">
        <f aca="false">IF(Questionnaire!C90="","—",Questionnaire!C90)</f>
        <v>—</v>
      </c>
      <c r="D49" s="51"/>
      <c r="E49" s="51"/>
    </row>
    <row r="50" customFormat="false" ht="19.5" hidden="false" customHeight="true" outlineLevel="0" collapsed="false">
      <c r="B50" s="50" t="s">
        <v>98</v>
      </c>
      <c r="C50" s="51" t="str">
        <f aca="false">IF(Questionnaire!C91="","—",Questionnaire!C91)</f>
        <v>—</v>
      </c>
      <c r="D50" s="51"/>
      <c r="E50" s="51"/>
    </row>
    <row r="51" customFormat="false" ht="19.5" hidden="false" customHeight="true" outlineLevel="0" collapsed="false">
      <c r="B51" s="50" t="s">
        <v>149</v>
      </c>
      <c r="C51" s="51" t="str">
        <f aca="false">IF(Questionnaire!C92="","—",Questionnaire!C92)</f>
        <v>—</v>
      </c>
      <c r="D51" s="51"/>
      <c r="E51" s="51"/>
    </row>
    <row r="52" customFormat="false" ht="19.5" hidden="false" customHeight="true" outlineLevel="0" collapsed="false">
      <c r="B52" s="50" t="s">
        <v>150</v>
      </c>
      <c r="C52" s="51" t="str">
        <f aca="false">IF(Questionnaire!C93="","—",Questionnaire!C93)</f>
        <v>—</v>
      </c>
      <c r="D52" s="51"/>
      <c r="E52" s="51"/>
    </row>
    <row r="53" customFormat="false" ht="19.5" hidden="false" customHeight="true" outlineLevel="0" collapsed="false">
      <c r="B53" s="50" t="s">
        <v>151</v>
      </c>
      <c r="C53" s="51" t="str">
        <f aca="false">IF(Questionnaire!C94="","—",Questionnaire!C94)</f>
        <v>—</v>
      </c>
      <c r="D53" s="51"/>
      <c r="E53" s="51"/>
    </row>
    <row r="54" customFormat="false" ht="19.5" hidden="false" customHeight="true" outlineLevel="0" collapsed="false">
      <c r="B54" s="50" t="s">
        <v>152</v>
      </c>
      <c r="C54" s="51" t="str">
        <f aca="false">IF(Questionnaire!C95="","—",Questionnaire!C95)</f>
        <v>—</v>
      </c>
      <c r="D54" s="51"/>
      <c r="E54" s="51"/>
    </row>
    <row r="55" customFormat="false" ht="19.5" hidden="false" customHeight="true" outlineLevel="0" collapsed="false">
      <c r="B55" s="50" t="s">
        <v>153</v>
      </c>
      <c r="C55" s="51" t="str">
        <f aca="false">IF(Questionnaire!C96="","—",Questionnaire!C96)</f>
        <v>—</v>
      </c>
      <c r="D55" s="51"/>
      <c r="E55" s="51"/>
    </row>
    <row r="56" customFormat="false" ht="19.5" hidden="false" customHeight="true" outlineLevel="0" collapsed="false">
      <c r="B56" s="50" t="s">
        <v>154</v>
      </c>
      <c r="C56" s="51" t="str">
        <f aca="false">IF(Questionnaire!C97="","—",Questionnaire!C97)</f>
        <v>—</v>
      </c>
      <c r="D56" s="51"/>
      <c r="E56" s="51"/>
    </row>
    <row r="57" customFormat="false" ht="19.5" hidden="false" customHeight="true" outlineLevel="0" collapsed="false">
      <c r="B57" s="50" t="s">
        <v>155</v>
      </c>
      <c r="C57" s="51" t="str">
        <f aca="false">IF(Questionnaire!C98="","—",Questionnaire!C98)</f>
        <v>—</v>
      </c>
      <c r="D57" s="51"/>
      <c r="E57" s="51"/>
    </row>
    <row r="59" customFormat="false" ht="17.35" hidden="false" customHeight="false" outlineLevel="0" collapsed="false">
      <c r="B59" s="35" t="s">
        <v>156</v>
      </c>
    </row>
    <row r="60" customFormat="false" ht="79.5" hidden="false" customHeight="true" outlineLevel="0" collapsed="false">
      <c r="B60" s="52" t="str">
        <f aca="false">IF(SUM(Questionnaire!C25:C34)=0,"Complete Part 2 ratings to get your suggested next step.",IF(SUM(Questionnaire!C25:C34)/50&lt;0.3,"You're early — that's a great place to start. This week: walk your business and list 5–10 painful tasks. Don't solve anything yet. Just see them clearly.",IF(SUM(Questionnaire!C25:C34)/50&lt;0.55,"You have the awareness — now get a quick win. This week: pick your top pain above and run a 2-week pilot with one owner. Keep it small, low-risk, and measurable.",IF(SUM(Questionnaire!C25:C34)/50&lt;0.75,"You're building momentum. This week: turn your best pilot into a one-page playbook so the rest of the team can use it without asking questions.","You're well underway. This week: refresh the leak list, schedule the next 30-day review, and set a small weekly rhythm so improvement keeps compounding."))))</f>
        <v>Complete Part 2 ratings to get your suggested next step.</v>
      </c>
      <c r="C60" s="52"/>
      <c r="D60" s="52"/>
      <c r="E60" s="52"/>
    </row>
  </sheetData>
  <mergeCells count="32">
    <mergeCell ref="C7:E7"/>
    <mergeCell ref="C24:E24"/>
    <mergeCell ref="C25:E25"/>
    <mergeCell ref="C26:E26"/>
    <mergeCell ref="C27:E27"/>
    <mergeCell ref="C29:E29"/>
    <mergeCell ref="C30:E30"/>
    <mergeCell ref="C31:E31"/>
    <mergeCell ref="C32:E32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B60:E6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2026-06-12T04:11:32Z</dcterms:created>
  <dc:creator>openpyxl</dc:creator>
  <dc:description/>
  <dc:language>en-US</dc:language>
  <cp:lastModifiedBy/>
  <dcterms:modified xsi:type="dcterms:W3CDTF">2026-06-12T04:11:32Z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